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Unit Economics" sheetId="2" state="visible" r:id="rId2"/>
    <sheet name="Ciclo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0.0%"/>
    <numFmt numFmtId="166" formatCode="&quot;R$&quot; #,##0"/>
    <numFmt numFmtId="167" formatCode="0.0&quot;x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A736E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3C5A4E"/>
      </patternFill>
    </fill>
    <fill>
      <patternFill patternType="solid">
        <fgColor rgb="00FFF2CC"/>
      </patternFill>
    </fill>
    <fill>
      <patternFill patternType="solid">
        <fgColor rgb="00E4EC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165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0" fontId="6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56" customWidth="1" min="4" max="4"/>
  </cols>
  <sheetData>
    <row r="1">
      <c r="A1" s="1" t="inlineStr">
        <is>
          <t>Höfe — Unit Economics · Premissas</t>
        </is>
      </c>
    </row>
    <row r="2">
      <c r="A2" s="2" t="inlineStr">
        <is>
          <t>Edite APENAS as células azuis. Tudo recalcula nas outras abas. Números iniciais são ilustrativos — troque pelos reais.</t>
        </is>
      </c>
    </row>
    <row r="3">
      <c r="A3" s="3" t="inlineStr">
        <is>
          <t>Premissa</t>
        </is>
      </c>
      <c r="B3" s="3" t="inlineStr">
        <is>
          <t>Valor</t>
        </is>
      </c>
      <c r="C3" s="3" t="inlineStr">
        <is>
          <t>Unid.</t>
        </is>
      </c>
      <c r="D3" s="3" t="inlineStr">
        <is>
          <t>Observação</t>
        </is>
      </c>
    </row>
    <row r="4">
      <c r="A4" s="4" t="inlineStr">
        <is>
          <t>Preço de venda — D2C</t>
        </is>
      </c>
      <c r="B4" s="5" t="n">
        <v>89</v>
      </c>
      <c r="C4" s="6" t="inlineStr">
        <is>
          <t>R$</t>
        </is>
      </c>
      <c r="D4" s="2" t="inlineStr">
        <is>
          <t>Preço no seu site próprio</t>
        </is>
      </c>
    </row>
    <row r="5">
      <c r="A5" s="4" t="inlineStr">
        <is>
          <t>Preço de venda — Marketplace</t>
        </is>
      </c>
      <c r="B5" s="5" t="n">
        <v>89</v>
      </c>
      <c r="C5" s="6" t="inlineStr">
        <is>
          <t>R$</t>
        </is>
      </c>
      <c r="D5" s="2" t="inlineStr">
        <is>
          <t>Pode ser igual ou diferente do D2C</t>
        </is>
      </c>
    </row>
    <row r="6">
      <c r="A6" s="4" t="inlineStr">
        <is>
          <t>Custo do produto por unidade</t>
        </is>
      </c>
      <c r="B6" s="5" t="n">
        <v>14</v>
      </c>
      <c r="C6" s="6" t="inlineStr">
        <is>
          <t>R$</t>
        </is>
      </c>
      <c r="D6" s="2" t="inlineStr">
        <is>
          <t>Fórmula + envase + embalagem no MOQ (vem da fabricante)</t>
        </is>
      </c>
    </row>
    <row r="7">
      <c r="A7" s="4" t="inlineStr">
        <is>
          <t>Comissão do marketplace</t>
        </is>
      </c>
      <c r="B7" s="7" t="n">
        <v>0.16</v>
      </c>
      <c r="C7" s="6" t="inlineStr">
        <is>
          <t>%</t>
        </is>
      </c>
      <c r="D7" s="2" t="inlineStr">
        <is>
          <t>12–20% conforme categoria/plataforma</t>
        </is>
      </c>
    </row>
    <row r="8">
      <c r="A8" s="4" t="inlineStr">
        <is>
          <t>Impostos sobre venda</t>
        </is>
      </c>
      <c r="B8" s="7" t="n">
        <v>0.08</v>
      </c>
      <c r="C8" s="6" t="inlineStr">
        <is>
          <t>%</t>
        </is>
      </c>
      <c r="D8" s="2" t="inlineStr">
        <is>
          <t>Ex.: Simples ~6–10%</t>
        </is>
      </c>
    </row>
    <row r="9">
      <c r="A9" s="4" t="inlineStr">
        <is>
          <t>Frete / embalagem de envio</t>
        </is>
      </c>
      <c r="B9" s="5" t="n">
        <v>8</v>
      </c>
      <c r="C9" s="6" t="inlineStr">
        <is>
          <t>R$</t>
        </is>
      </c>
      <c r="D9" s="2" t="inlineStr">
        <is>
          <t>Custo logístico por pedido</t>
        </is>
      </c>
    </row>
    <row r="10">
      <c r="A10" s="4" t="inlineStr">
        <is>
          <t>CAC — custo de aquisição</t>
        </is>
      </c>
      <c r="B10" s="5" t="n">
        <v>45</v>
      </c>
      <c r="C10" s="6" t="inlineStr">
        <is>
          <t>R$</t>
        </is>
      </c>
      <c r="D10" s="2" t="inlineStr">
        <is>
          <t>Quanto custa trazer 1 cliente (mídia paga)</t>
        </is>
      </c>
    </row>
    <row r="11">
      <c r="A11" s="4" t="inlineStr">
        <is>
          <t>Nº de compras no ciclo de vida</t>
        </is>
      </c>
      <c r="B11" s="8" t="n">
        <v>4</v>
      </c>
      <c r="C11" s="6" t="inlineStr">
        <is>
          <t>un</t>
        </is>
      </c>
      <c r="D11" s="2" t="inlineStr">
        <is>
          <t>Quantas vezes o cliente compra (LTV) — skincare recompra rápido</t>
        </is>
      </c>
    </row>
    <row r="12">
      <c r="A12" s="4" t="inlineStr">
        <is>
          <t>MOQ por SKU</t>
        </is>
      </c>
      <c r="B12" s="8" t="n">
        <v>1000</v>
      </c>
      <c r="C12" s="6" t="inlineStr">
        <is>
          <t>un</t>
        </is>
      </c>
      <c r="D12" s="2" t="inlineStr">
        <is>
          <t>Pedido mínimo por produto (negociar com a fabricante)</t>
        </is>
      </c>
    </row>
    <row r="13">
      <c r="A13" s="4" t="inlineStr">
        <is>
          <t>Nº de SKUs no ciclo</t>
        </is>
      </c>
      <c r="B13" s="8" t="n">
        <v>6</v>
      </c>
      <c r="C13" s="6" t="inlineStr">
        <is>
          <t>un</t>
        </is>
      </c>
      <c r="D13" s="2" t="inlineStr">
        <is>
          <t>Fase 1 = Rosto + Cabelo + Baby (~6)</t>
        </is>
      </c>
    </row>
    <row r="14">
      <c r="A14" s="4" t="inlineStr">
        <is>
          <t>Custo médio/un para estoque</t>
        </is>
      </c>
      <c r="B14" s="5" t="n">
        <v>12</v>
      </c>
      <c r="C14" s="6" t="inlineStr">
        <is>
          <t>R$</t>
        </is>
      </c>
      <c r="D14" s="2" t="inlineStr">
        <is>
          <t>Média dos SKUs (para calcular estoque)</t>
        </is>
      </c>
    </row>
    <row r="15">
      <c r="A15" s="4" t="inlineStr">
        <is>
          <t>Custos fixos do ciclo</t>
        </is>
      </c>
      <c r="B15" s="9" t="n">
        <v>50000</v>
      </c>
      <c r="C15" s="6" t="inlineStr">
        <is>
          <t>R$</t>
        </is>
      </c>
      <c r="D15" s="2" t="inlineStr">
        <is>
          <t>Regulatório + marca/design + fotos + parte da mídia</t>
        </is>
      </c>
    </row>
    <row r="16">
      <c r="A16" s="4" t="inlineStr">
        <is>
          <t>Mix de vendas no D2C</t>
        </is>
      </c>
      <c r="B16" s="7" t="n">
        <v>0.4</v>
      </c>
      <c r="C16" s="6" t="inlineStr">
        <is>
          <t>%</t>
        </is>
      </c>
      <c r="D16" s="2" t="inlineStr">
        <is>
          <t>Fração vendida no site próprio; resto = marketplace</t>
        </is>
      </c>
    </row>
    <row r="19">
      <c r="A19" s="10" t="inlineStr">
        <is>
          <t>Legenda:</t>
        </is>
      </c>
    </row>
    <row r="20">
      <c r="A20" s="11" t="inlineStr">
        <is>
          <t>■ células azuis com fundo amarelo = você edita</t>
        </is>
      </c>
    </row>
    <row r="21">
      <c r="A21" s="4" t="inlineStr">
        <is>
          <t>■ demais abas = fórmulas (não editar)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Unit Economics — por SKU (herói)</t>
        </is>
      </c>
    </row>
    <row r="3">
      <c r="A3" s="3" t="inlineStr">
        <is>
          <t>Item</t>
        </is>
      </c>
      <c r="B3" s="12" t="inlineStr">
        <is>
          <t>D2C</t>
        </is>
      </c>
      <c r="C3" s="12" t="inlineStr">
        <is>
          <t>Marketplace</t>
        </is>
      </c>
    </row>
    <row r="4">
      <c r="A4" s="13" t="inlineStr">
        <is>
          <t>Preço de venda</t>
        </is>
      </c>
      <c r="B4" s="14">
        <f>Premissas!$B$4</f>
        <v/>
      </c>
      <c r="C4" s="14">
        <f>Premissas!$B$5</f>
        <v/>
      </c>
    </row>
    <row r="5">
      <c r="A5" s="13" t="inlineStr">
        <is>
          <t>(–) Custo do produto</t>
        </is>
      </c>
      <c r="B5" s="14">
        <f>-Premissas!$B$6</f>
        <v/>
      </c>
      <c r="C5" s="14">
        <f>-Premissas!$B$6</f>
        <v/>
      </c>
    </row>
    <row r="6">
      <c r="A6" s="13" t="inlineStr">
        <is>
          <t>(–) Comissão marketplace</t>
        </is>
      </c>
      <c r="B6" s="14">
        <f>0</f>
        <v/>
      </c>
      <c r="C6" s="14">
        <f>-Premissas!$B$5*Premissas!$B$7</f>
        <v/>
      </c>
    </row>
    <row r="7">
      <c r="A7" s="13" t="inlineStr">
        <is>
          <t>(–) Impostos</t>
        </is>
      </c>
      <c r="B7" s="14">
        <f>-Premissas!$B$4*Premissas!$B$8</f>
        <v/>
      </c>
      <c r="C7" s="14">
        <f>-Premissas!$B$5*Premissas!$B$8</f>
        <v/>
      </c>
    </row>
    <row r="8">
      <c r="A8" s="13" t="inlineStr">
        <is>
          <t>(–) Frete / envio</t>
        </is>
      </c>
      <c r="B8" s="14">
        <f>-Premissas!$B$9</f>
        <v/>
      </c>
      <c r="C8" s="14">
        <f>-Premissas!$B$9</f>
        <v/>
      </c>
    </row>
    <row r="9">
      <c r="A9" s="15">
        <f> Margem de contribuição</f>
        <v/>
      </c>
      <c r="B9" s="16">
        <f>SUM(B4:B8)</f>
        <v/>
      </c>
      <c r="C9" s="16">
        <f>SUM(C4:C8)</f>
        <v/>
      </c>
    </row>
    <row r="10">
      <c r="A10" s="13" t="inlineStr">
        <is>
          <t>Margem de contribuição (%)</t>
        </is>
      </c>
      <c r="B10" s="17">
        <f>B9/B4</f>
        <v/>
      </c>
      <c r="C10" s="17">
        <f>C9/C5</f>
        <v/>
      </c>
    </row>
    <row r="11">
      <c r="A11" s="13" t="inlineStr">
        <is>
          <t>(–) CAC (1ª compra)</t>
        </is>
      </c>
      <c r="B11" s="14">
        <f>-Premissas!$B$10</f>
        <v/>
      </c>
      <c r="C11" s="14">
        <f>-Premissas!$B$10</f>
        <v/>
      </c>
    </row>
    <row r="12">
      <c r="A12" s="18" t="inlineStr">
        <is>
          <t>Resultado da 1ª compra</t>
        </is>
      </c>
      <c r="B12" s="19">
        <f>B9+B11</f>
        <v/>
      </c>
      <c r="C12" s="19">
        <f>C9+C11</f>
        <v/>
      </c>
    </row>
    <row r="13">
      <c r="A13" s="13" t="inlineStr">
        <is>
          <t>LTV — contribuição total</t>
        </is>
      </c>
      <c r="B13" s="14">
        <f>B9*Premissas!$B$11</f>
        <v/>
      </c>
      <c r="C13" s="14">
        <f>C9*Premissas!$B$11</f>
        <v/>
      </c>
    </row>
    <row r="14">
      <c r="A14" s="15" t="inlineStr">
        <is>
          <t>LTV líquido (menos 1 CAC)</t>
        </is>
      </c>
      <c r="B14" s="16">
        <f>B13-Premissas!$B$10</f>
        <v/>
      </c>
      <c r="C14" s="16">
        <f>C13-Premissas!$B$10</f>
        <v/>
      </c>
    </row>
    <row r="15">
      <c r="A15" s="18" t="inlineStr">
        <is>
          <t>LTV / CAC</t>
        </is>
      </c>
      <c r="B15" s="20">
        <f>IFERROR(B13/Premissas!$B$10,0)</f>
        <v/>
      </c>
      <c r="C15" s="20">
        <f>IFERROR(C13/Premissas!$B$10,0)</f>
        <v/>
      </c>
    </row>
    <row r="17">
      <c r="A17" s="2" t="inlineStr">
        <is>
          <t>Meta de saúde: LTV/CAC ≥ 3×. Se a 1ª compra já é positiva, você escala com menos risco.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Ciclo 1 — estoque e ponto de equilíbrio</t>
        </is>
      </c>
    </row>
    <row r="3">
      <c r="A3" s="3" t="inlineStr">
        <is>
          <t>Indicador</t>
        </is>
      </c>
      <c r="B3" s="12" t="inlineStr">
        <is>
          <t>Valor</t>
        </is>
      </c>
    </row>
    <row r="4">
      <c r="A4" s="4" t="inlineStr">
        <is>
          <t>Investimento em estoque</t>
        </is>
      </c>
      <c r="B4" s="21">
        <f>Premissas!$B$12*Premissas!$B$13*Premissas!$B$14</f>
        <v/>
      </c>
    </row>
    <row r="5">
      <c r="A5" s="4" t="inlineStr">
        <is>
          <t>Unidades em estoque</t>
        </is>
      </c>
      <c r="B5" s="22">
        <f>Premissas!$B$12*Premissas!$B$13</f>
        <v/>
      </c>
    </row>
    <row r="6">
      <c r="A6" s="4" t="inlineStr">
        <is>
          <t>Margem contrib. ponderada/un</t>
        </is>
      </c>
      <c r="B6" s="14">
        <f>'Unit Economics'!$B$9*Premissas!$B$16+'Unit Economics'!$C$9*(1-Premissas!$B$16)</f>
        <v/>
      </c>
    </row>
    <row r="7">
      <c r="A7" s="4" t="inlineStr">
        <is>
          <t>Custos fixos do ciclo</t>
        </is>
      </c>
      <c r="B7" s="21">
        <f>Premissas!$B$15</f>
        <v/>
      </c>
    </row>
    <row r="8">
      <c r="A8" s="4" t="inlineStr">
        <is>
          <t>Breakeven (unidades)</t>
        </is>
      </c>
      <c r="B8" s="23">
        <f>IFERROR(Premissas!$B$15/('Unit Economics'!$B$9*Premissas!$B$16+'Unit Economics'!$C$9*(1-Premissas!$B$16)),0)</f>
        <v/>
      </c>
    </row>
    <row r="9">
      <c r="A9" s="4" t="inlineStr">
        <is>
          <t>Breakeven como % do estoque</t>
        </is>
      </c>
      <c r="B9" s="17">
        <f>IFERROR(B7/B5,0)</f>
        <v/>
      </c>
    </row>
    <row r="11">
      <c r="A11" s="2" t="inlineStr">
        <is>
          <t>Breakeven = quantas unidades pagam o custo fixo do ciclo. Abaixo do estoque disponível = viável.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2026-07-20T22:00:56Z</dcterms:created>
  <dcterms:modified xsi:type="dcterms:W3CDTF">2026-07-20T22:00:56Z</dcterms:modified>
</cp:coreProperties>
</file>